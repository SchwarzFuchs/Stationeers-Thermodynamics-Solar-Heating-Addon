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\source\repos\ThermodynamicsSolarHeatingAddon\"/>
    </mc:Choice>
  </mc:AlternateContent>
  <xr:revisionPtr revIDLastSave="0" documentId="13_ncr:1_{B9B422C1-5AAF-4B98-84F6-387E3809D3B9}" xr6:coauthVersionLast="47" xr6:coauthVersionMax="47" xr10:uidLastSave="{00000000-0000-0000-0000-000000000000}"/>
  <bookViews>
    <workbookView xWindow="-110" yWindow="-110" windowWidth="38620" windowHeight="21220" xr2:uid="{B68D1F94-C044-4242-9F23-6F7FF63C8F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F11" i="1" s="1"/>
  <c r="C13" i="1" l="1"/>
  <c r="E13" i="1"/>
  <c r="F13" i="1"/>
  <c r="D13" i="1"/>
  <c r="D11" i="1"/>
  <c r="D12" i="1"/>
  <c r="E12" i="1"/>
  <c r="F12" i="1"/>
  <c r="C10" i="1"/>
  <c r="D10" i="1"/>
  <c r="F10" i="1"/>
  <c r="E11" i="1"/>
  <c r="C11" i="1"/>
  <c r="C9" i="1"/>
  <c r="D9" i="1"/>
  <c r="E9" i="1"/>
  <c r="F9" i="1"/>
  <c r="C12" i="1"/>
  <c r="E10" i="1"/>
</calcChain>
</file>

<file path=xl/sharedStrings.xml><?xml version="1.0" encoding="utf-8"?>
<sst xmlns="http://schemas.openxmlformats.org/spreadsheetml/2006/main" count="25" uniqueCount="16">
  <si>
    <t>Material</t>
  </si>
  <si>
    <t>Iron</t>
  </si>
  <si>
    <t>Steel</t>
  </si>
  <si>
    <t>Glass</t>
  </si>
  <si>
    <t>Insulation</t>
  </si>
  <si>
    <t>R</t>
  </si>
  <si>
    <t>C</t>
  </si>
  <si>
    <t>A</t>
  </si>
  <si>
    <t>Angle</t>
  </si>
  <si>
    <t>Calc:</t>
  </si>
  <si>
    <t>Empty</t>
  </si>
  <si>
    <t>ThickConductorPenalty</t>
  </si>
  <si>
    <t>Angle to rad:</t>
  </si>
  <si>
    <t>Inner layer</t>
  </si>
  <si>
    <t>EnergyFlow, w/m^2</t>
  </si>
  <si>
    <t>Outer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</si>
</sst>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B03E-B4DE-40CE-8EC0-BCCAC7D82E6D}">
  <dimension ref="A1:J13"/>
  <sheetViews>
    <sheetView tabSelected="1" zoomScale="175" zoomScaleNormal="175" workbookViewId="0">
      <selection activeCell="H8" sqref="H8"/>
    </sheetView>
  </sheetViews>
  <sheetFormatPr defaultRowHeight="14.5" x14ac:dyDescent="0.35"/>
  <cols>
    <col min="1" max="1" width="9.1796875" bestFit="1" customWidth="1"/>
    <col min="5" max="5" width="9.1796875" bestFit="1" customWidth="1"/>
    <col min="7" max="7" width="21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14</v>
      </c>
      <c r="H1">
        <v>1250</v>
      </c>
    </row>
    <row r="2" spans="1:10" x14ac:dyDescent="0.35">
      <c r="A2" s="1" t="s">
        <v>5</v>
      </c>
      <c r="B2" s="1">
        <v>0</v>
      </c>
      <c r="C2" s="1">
        <v>0</v>
      </c>
      <c r="D2" s="1">
        <v>0.85</v>
      </c>
      <c r="E2" s="1">
        <v>0</v>
      </c>
      <c r="G2" t="s">
        <v>12</v>
      </c>
      <c r="H2">
        <f>RADIANS(J2)</f>
        <v>0</v>
      </c>
      <c r="I2" t="s">
        <v>8</v>
      </c>
      <c r="J2">
        <v>0</v>
      </c>
    </row>
    <row r="3" spans="1:10" x14ac:dyDescent="0.35">
      <c r="A3" s="1" t="s">
        <v>6</v>
      </c>
      <c r="B3" s="1">
        <v>1</v>
      </c>
      <c r="C3" s="1">
        <v>0.8</v>
      </c>
      <c r="D3" s="1">
        <v>0.15</v>
      </c>
      <c r="E3" s="1">
        <v>0.05</v>
      </c>
      <c r="G3" t="s">
        <v>11</v>
      </c>
      <c r="H3">
        <v>1.2</v>
      </c>
    </row>
    <row r="4" spans="1:10" x14ac:dyDescent="0.35">
      <c r="A4" s="1" t="s">
        <v>7</v>
      </c>
      <c r="B4" s="1">
        <v>0.3</v>
      </c>
      <c r="C4" s="1">
        <v>0.15</v>
      </c>
      <c r="D4" s="1">
        <v>0.1</v>
      </c>
      <c r="E4" s="1">
        <v>0.5</v>
      </c>
    </row>
    <row r="7" spans="1:10" ht="14.5" customHeight="1" x14ac:dyDescent="0.35">
      <c r="A7" s="3" t="s">
        <v>9</v>
      </c>
      <c r="B7" s="2" t="s">
        <v>13</v>
      </c>
      <c r="C7" s="2"/>
      <c r="D7" s="2"/>
      <c r="E7" s="2"/>
      <c r="F7" s="2"/>
    </row>
    <row r="8" spans="1:10" ht="29" customHeight="1" x14ac:dyDescent="0.35">
      <c r="A8" s="4" t="s">
        <v>15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</row>
    <row r="9" spans="1:10" x14ac:dyDescent="0.35">
      <c r="A9" s="5"/>
      <c r="B9" s="1" t="s">
        <v>1</v>
      </c>
      <c r="C9" s="1">
        <f>4*COS($H$2)*($H$1*($B$2*B$2)+($H$1*$B$4*MIN($B$3,B$3/$H$3))+$H$1*($B$2*B$4*B$3))</f>
        <v>1250</v>
      </c>
      <c r="D9" s="1">
        <f>4*COS($H$2)*($H$1*($B$2*C$2)+($H$1*$B$4*MIN($B$3,C$3/$H$3))+$H$1*($B$2*C$4*C$3))</f>
        <v>1000.0000000000001</v>
      </c>
      <c r="E9" s="1">
        <f>4*COS($H$2)*($H$1*($B$2*D$2)+($H$1*$B$4*MIN($B$3,D$3/$H$3))+$H$1*($B$2*D$4*D$3))</f>
        <v>187.5</v>
      </c>
      <c r="F9" s="1">
        <f>4*COS($H$2)*($H$1*($B$2*E$2)+($H$1*$B$4*MIN($B$3,E$3/$H$3))+$H$1*($B$2*E$4*E$3))</f>
        <v>62.500000000000007</v>
      </c>
    </row>
    <row r="10" spans="1:10" x14ac:dyDescent="0.35">
      <c r="A10" s="5"/>
      <c r="B10" s="1" t="s">
        <v>2</v>
      </c>
      <c r="C10" s="1">
        <f>4*COS($H$2)*($H$1*($C$2*B$2)+($H$1*$C$4*MIN($C$3,B$3/$H$3))+$H$1*($C$2*B$4*B$3))</f>
        <v>600</v>
      </c>
      <c r="D10" s="1">
        <f>4*COS($H$2)*($H$1*($C$2*C$2)+($H$1*$C$4*MIN($C$3,C$3/$H$3))+$H$1*($C$2*C$4*C$3))</f>
        <v>500.00000000000006</v>
      </c>
      <c r="E10" s="1">
        <f>4*COS($H$2)*($H$1*($C$2*D$2)+($H$1*$C$4*MIN($C$3,D$3/$H$3))+$H$1*($C$2*D$4*D$3))</f>
        <v>93.75</v>
      </c>
      <c r="F10" s="1">
        <f>4*COS($H$2)*($H$1*($C$2*E$2)+($H$1*$C$4*MIN($C$3,E$3/$H$3))+$H$1*($C$2*E$4*E$3))</f>
        <v>31.250000000000004</v>
      </c>
    </row>
    <row r="11" spans="1:10" x14ac:dyDescent="0.35">
      <c r="A11" s="5"/>
      <c r="B11" s="1" t="s">
        <v>3</v>
      </c>
      <c r="C11" s="1">
        <f>4*COS($H$2)*($H$1*($D$2*B$2)+($H$1*$D$4*MIN($D$3,B$3/$H$3))+$H$1*($D$2*B$4*B$3))</f>
        <v>1350</v>
      </c>
      <c r="D11" s="1">
        <f>4*COS($H$2)*($H$1*($D$2*C$2)+($H$1*$D$4*MIN($D$3,C$3/$H$3))+$H$1*($D$2*C$4*C$3))</f>
        <v>585</v>
      </c>
      <c r="E11" s="1">
        <f>4*COS($H$2)*($H$1*($D$2*D$2)+($H$1*$D$4*MIN($D$3,D$3/$H$3))+$H$1*($D$2*D$4*D$3))</f>
        <v>3738.7499999999995</v>
      </c>
      <c r="F11" s="1">
        <f>4*COS($H$2)*($H$1*($D$2*E$2)+($H$1*$D$4*MIN($D$3,E$3/$H$3))+$H$1*($D$2*E$4*E$3))</f>
        <v>127.08333333333334</v>
      </c>
    </row>
    <row r="12" spans="1:10" x14ac:dyDescent="0.35">
      <c r="A12" s="5"/>
      <c r="B12" s="1" t="s">
        <v>4</v>
      </c>
      <c r="C12" s="1">
        <f>4*COS($H$2)*($H$1*($E$2*B$2)+($H$1*$E$4*MIN($E$3,B$3/$H$3))+$H$1*($E$2*B$4*B$3))</f>
        <v>125</v>
      </c>
      <c r="D12" s="1">
        <f>4*COS($H$2)*($H$1*($E$2*C$2)+($H$1*$E$4*MIN($E$3,C$3/$H$3))+$H$1*($E$2*C$4*C$3))</f>
        <v>125</v>
      </c>
      <c r="E12" s="1">
        <f>4*COS($H$2)*($H$1*($E$2*D$2)+($H$1*$E$4*MIN($E$3,D$3/$H$3))+$H$1*($E$2*D$4*D$3))</f>
        <v>125</v>
      </c>
      <c r="F12" s="1">
        <f>4*COS($H$2)*($H$1*($E$2*E$2)+($H$1*$E$4*MIN($E$3,E$3/$H$3))+$H$1*($E$2*E$4*E$3))</f>
        <v>104.16666666666667</v>
      </c>
    </row>
    <row r="13" spans="1:10" x14ac:dyDescent="0.35">
      <c r="A13" s="6"/>
      <c r="B13" s="1" t="s">
        <v>10</v>
      </c>
      <c r="C13" s="1">
        <f>4*COS($H$2)*($H$1*(B$2)+($H$1*B4*B$3))</f>
        <v>1500</v>
      </c>
      <c r="D13" s="1">
        <f>4*COS($H$2)*($H$1*(C$2)+($H$1*C4*C$3))</f>
        <v>600</v>
      </c>
      <c r="E13" s="1">
        <f>4*COS($H$2)*($H$1*(D$2)+($H$1*D4*D$3))</f>
        <v>4325</v>
      </c>
      <c r="F13" s="1">
        <f>4*COS($H$2)*($H$1*(E$2)+($H$1*E4*E$3))</f>
        <v>125</v>
      </c>
    </row>
  </sheetData>
  <mergeCells count="2">
    <mergeCell ref="B7:F7"/>
    <mergeCell ref="A8:A1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2026-10-13T18:14:28Z</dcterms:created>
  <dcterms:modified xsi:type="dcterms:W3CDTF">2026-10-19T18:39:44Z</dcterms:modified>
</cp:coreProperties>
</file>